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25440" windowHeight="12600" activeTab="1"/>
  </bookViews>
  <sheets>
    <sheet name="P1.표지) 근로계약서" sheetId="11" r:id="rId1"/>
    <sheet name="장은서" sheetId="17" r:id="rId2"/>
  </sheets>
  <definedNames>
    <definedName name="_xlnm.Print_Area" localSheetId="0">'P1.표지) 근로계약서'!$A$1:$J$18</definedName>
    <definedName name="_xlnm.Print_Area" localSheetId="1">장은서!$A$1:$J$33</definedName>
  </definedNames>
  <calcPr calcId="144525"/>
</workbook>
</file>

<file path=xl/calcChain.xml><?xml version="1.0" encoding="utf-8"?>
<calcChain xmlns="http://schemas.openxmlformats.org/spreadsheetml/2006/main">
  <c r="D12" i="17" l="1"/>
  <c r="M3" i="17"/>
  <c r="I24" i="17" s="1"/>
  <c r="I25" i="17" l="1"/>
  <c r="I26" i="17"/>
  <c r="I27" i="17" l="1"/>
  <c r="I17" i="17" s="1"/>
  <c r="I18" i="17" s="1"/>
</calcChain>
</file>

<file path=xl/sharedStrings.xml><?xml version="1.0" encoding="utf-8"?>
<sst xmlns="http://schemas.openxmlformats.org/spreadsheetml/2006/main" count="80" uniqueCount="75">
  <si>
    <t>사업종류</t>
    <phoneticPr fontId="2" type="noConversion"/>
  </si>
  <si>
    <t>종업원수</t>
    <phoneticPr fontId="2" type="noConversion"/>
  </si>
  <si>
    <t>전      화</t>
    <phoneticPr fontId="2" type="noConversion"/>
  </si>
  <si>
    <t>주민번호</t>
    <phoneticPr fontId="2" type="noConversion"/>
  </si>
  <si>
    <t>선용품</t>
    <phoneticPr fontId="2" type="noConversion"/>
  </si>
  <si>
    <t>051-712-8300</t>
    <phoneticPr fontId="2" type="noConversion"/>
  </si>
  <si>
    <t>통상임금</t>
    <phoneticPr fontId="2" type="noConversion"/>
  </si>
  <si>
    <t>기본급</t>
    <phoneticPr fontId="2" type="noConversion"/>
  </si>
  <si>
    <t>(주휴포함) 209 H</t>
    <phoneticPr fontId="2" type="noConversion"/>
  </si>
  <si>
    <t>금 액</t>
    <phoneticPr fontId="2" type="noConversion"/>
  </si>
  <si>
    <t>내 역</t>
    <phoneticPr fontId="2" type="noConversion"/>
  </si>
  <si>
    <t xml:space="preserve">  월 지급액은 포괄역산제로 세부내역과 같고, 월 30일 을의 계좌로 지급한다.</t>
    <phoneticPr fontId="2" type="noConversion"/>
  </si>
  <si>
    <t>연봉(입력)</t>
    <phoneticPr fontId="2" type="noConversion"/>
  </si>
  <si>
    <t>1회(월) 액</t>
    <phoneticPr fontId="2" type="noConversion"/>
  </si>
  <si>
    <t>*연봉만 입력</t>
    <phoneticPr fontId="2" type="noConversion"/>
  </si>
  <si>
    <t>*자동계산 영역</t>
    <phoneticPr fontId="2" type="noConversion"/>
  </si>
  <si>
    <t>연 봉 계 약 서</t>
    <phoneticPr fontId="2" type="noConversion"/>
  </si>
  <si>
    <t>사용자
(갑)</t>
    <phoneticPr fontId="2" type="noConversion"/>
  </si>
  <si>
    <t>업체명</t>
    <phoneticPr fontId="2" type="noConversion"/>
  </si>
  <si>
    <t>한일후지코리아 주식회사</t>
    <phoneticPr fontId="2" type="noConversion"/>
  </si>
  <si>
    <t>대표자</t>
    <phoneticPr fontId="2" type="noConversion"/>
  </si>
  <si>
    <t>이  배  명</t>
    <phoneticPr fontId="2" type="noConversion"/>
  </si>
  <si>
    <t>주   소</t>
    <phoneticPr fontId="2" type="noConversion"/>
  </si>
  <si>
    <t>경남 창원시 진해구 신항로 434-2</t>
    <phoneticPr fontId="2" type="noConversion"/>
  </si>
  <si>
    <t>근로자
(을)</t>
    <phoneticPr fontId="2" type="noConversion"/>
  </si>
  <si>
    <t>성   명</t>
    <phoneticPr fontId="2" type="noConversion"/>
  </si>
  <si>
    <t>법정 제수당</t>
    <phoneticPr fontId="2" type="noConversion"/>
  </si>
  <si>
    <t>합     계 (月 지급 총액)</t>
    <phoneticPr fontId="2" type="noConversion"/>
  </si>
  <si>
    <t>* 지각이나 조퇴 및 결근 등 근로제공이 없는 부분은 당해 부분만큼 공제할 수 있다.</t>
    <phoneticPr fontId="2" type="noConversion"/>
  </si>
  <si>
    <t>합     계 (월 지급액)</t>
    <phoneticPr fontId="2" type="noConversion"/>
  </si>
  <si>
    <t>금액(원)</t>
    <phoneticPr fontId="2" type="noConversion"/>
  </si>
  <si>
    <t>1년 총액</t>
    <phoneticPr fontId="2" type="noConversion"/>
  </si>
  <si>
    <t>5. 을의 연봉은 아래와 같다.</t>
    <phoneticPr fontId="2" type="noConversion"/>
  </si>
  <si>
    <t>7. 수습기간(3개월) 종료 후 급여 지급 내역은 아래표와 같다.</t>
    <phoneticPr fontId="2" type="noConversion"/>
  </si>
  <si>
    <t>기본급</t>
  </si>
  <si>
    <r>
      <t xml:space="preserve">(주휴포함)     </t>
    </r>
    <r>
      <rPr>
        <sz val="10"/>
        <color rgb="FF0000FF"/>
        <rFont val="맑은 고딕"/>
        <family val="3"/>
        <charset val="129"/>
        <scheme val="minor"/>
      </rPr>
      <t>209 H</t>
    </r>
  </si>
  <si>
    <t>연장근로수당</t>
  </si>
  <si>
    <t>40H초과수당</t>
  </si>
  <si>
    <t>2018년 최저임금</t>
    <phoneticPr fontId="2" type="noConversion"/>
  </si>
  <si>
    <t>7,530원</t>
    <phoneticPr fontId="2" type="noConversion"/>
  </si>
  <si>
    <t>2019년 최저임금</t>
    <phoneticPr fontId="2" type="noConversion"/>
  </si>
  <si>
    <t>8,350원</t>
    <phoneticPr fontId="2" type="noConversion"/>
  </si>
  <si>
    <t>80%되어야함</t>
    <phoneticPr fontId="2" type="noConversion"/>
  </si>
  <si>
    <t>75%일경우 최저임금법 위배</t>
    <phoneticPr fontId="2" type="noConversion"/>
  </si>
  <si>
    <t xml:space="preserve"> </t>
    <phoneticPr fontId="2" type="noConversion"/>
  </si>
  <si>
    <r>
      <t xml:space="preserve">16H × 150% = </t>
    </r>
    <r>
      <rPr>
        <sz val="10"/>
        <color rgb="FFFF0000"/>
        <rFont val="맑은 고딕"/>
        <family val="3"/>
        <charset val="129"/>
        <scheme val="minor"/>
      </rPr>
      <t>24H</t>
    </r>
    <phoneticPr fontId="2" type="noConversion"/>
  </si>
  <si>
    <t>2021 급여항목 수정 완료
21-01-05 이재성 과장</t>
    <phoneticPr fontId="2" type="noConversion"/>
  </si>
  <si>
    <r>
      <t xml:space="preserve">18H × 150% = </t>
    </r>
    <r>
      <rPr>
        <sz val="10"/>
        <color rgb="FFFF0000"/>
        <rFont val="맑은 고딕"/>
        <family val="3"/>
        <charset val="129"/>
        <scheme val="minor"/>
      </rPr>
      <t>27H</t>
    </r>
    <phoneticPr fontId="2" type="noConversion"/>
  </si>
  <si>
    <t>근 로 계 약 서</t>
    <phoneticPr fontId="2" type="noConversion"/>
  </si>
  <si>
    <t>사용자
(갑)</t>
    <phoneticPr fontId="2" type="noConversion"/>
  </si>
  <si>
    <t>업체명</t>
    <phoneticPr fontId="2" type="noConversion"/>
  </si>
  <si>
    <t>한일후지코리아 주식회사</t>
    <phoneticPr fontId="2" type="noConversion"/>
  </si>
  <si>
    <t>사업종류</t>
    <phoneticPr fontId="2" type="noConversion"/>
  </si>
  <si>
    <t>선용품</t>
    <phoneticPr fontId="2" type="noConversion"/>
  </si>
  <si>
    <t>대표자</t>
    <phoneticPr fontId="2" type="noConversion"/>
  </si>
  <si>
    <t>이  배  명</t>
    <phoneticPr fontId="2" type="noConversion"/>
  </si>
  <si>
    <t>종업원수</t>
    <phoneticPr fontId="2" type="noConversion"/>
  </si>
  <si>
    <t>주   소</t>
    <phoneticPr fontId="2" type="noConversion"/>
  </si>
  <si>
    <t>경남 창원시 진해구 신항로 434-2</t>
    <phoneticPr fontId="2" type="noConversion"/>
  </si>
  <si>
    <t>전      화</t>
    <phoneticPr fontId="2" type="noConversion"/>
  </si>
  <si>
    <t>051-712-8300</t>
    <phoneticPr fontId="2" type="noConversion"/>
  </si>
  <si>
    <t>근로자
(을)</t>
    <phoneticPr fontId="2" type="noConversion"/>
  </si>
  <si>
    <t>성   명</t>
    <phoneticPr fontId="2" type="noConversion"/>
  </si>
  <si>
    <t>주민번호</t>
    <phoneticPr fontId="2" type="noConversion"/>
  </si>
  <si>
    <t>주   소</t>
    <phoneticPr fontId="2" type="noConversion"/>
  </si>
  <si>
    <t>전      화</t>
    <phoneticPr fontId="2" type="noConversion"/>
  </si>
  <si>
    <t xml:space="preserve">   수습기간 동안 급여 지급 항목은 아래 표와 같다. (본급여 80% 적용)</t>
    <phoneticPr fontId="2" type="noConversion"/>
  </si>
  <si>
    <r>
      <t xml:space="preserve"> 양 당사자는 다음과 같이 연봉계약을 체결하고 상호 성실하게 준수할 것을 확약한다. 
또한, 연봉은 급여 및 상여금 합산 후, 12회분할하여 기본급 및 법정제수당으로 월 지급한다.
1. 을의 기본근로시간은 평일 09:00-18:00까지로 하며, 휴게시간은 12:00-13:00까지 1시간으로 한다</t>
    </r>
    <r>
      <rPr>
        <sz val="10"/>
        <rFont val="맑은 고딕"/>
        <family val="3"/>
        <charset val="129"/>
        <scheme val="minor"/>
      </rPr>
      <t>. 근로시간을 확인하기 어려운 경우 업무수행에 통상 필요한 시간을 근로시간으로 한다.
2. 을의 잔무시간 및 특근시간은 다음과 같다.(단,</t>
    </r>
    <r>
      <rPr>
        <u/>
        <sz val="10"/>
        <rFont val="맑은 고딕"/>
        <family val="3"/>
        <charset val="129"/>
        <scheme val="minor"/>
      </rPr>
      <t xml:space="preserve"> 수습기간 3개월은 기본근무 적용.</t>
    </r>
    <r>
      <rPr>
        <sz val="10"/>
        <rFont val="맑은 고딕"/>
        <family val="3"/>
        <charset val="129"/>
        <scheme val="minor"/>
      </rPr>
      <t xml:space="preserve">)
   1) 특근시간 ①연장근로 : 평일 월12회(주 3회) 18시 00분부터 19시 30분까지 (1.5H)        18H / 월
                 </t>
    </r>
    <r>
      <rPr>
        <sz val="7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 xml:space="preserve">②40H초과 : 토요일 월4회 09시 00분부터 14시 00분까지 (4H)                  16H / 월
   2) 특근시간 중 휴게시간 : 월-일 12시 00분부터 13시 00분까지 (1H)
</t>
    </r>
    <r>
      <rPr>
        <sz val="10"/>
        <color theme="1"/>
        <rFont val="맑은 고딕"/>
        <family val="2"/>
        <charset val="129"/>
        <scheme val="minor"/>
      </rPr>
      <t xml:space="preserve">
3. 을은 전 2항에 명시된 잔무시간 및 특근시간을 한도로 자유롭게 연장근로를 실시토록 한다.연장근로에 대한 대가는 연봉 중 월액에 포함하여 지급하기로 한다.
4. 전 2항에 명시된 연장근로시간 외 추가 연장근로는 인정하지 않는다. 추가 연장근로를 할 경우 갑의 서면상 사전 승인을 받아야 한다. </t>
    </r>
    <phoneticPr fontId="2" type="noConversion"/>
  </si>
  <si>
    <t>8. 부산지사(중앙동) 근무직원은 중식대 (150,000원/月 : 비과세) 별도 지급한다.</t>
    <phoneticPr fontId="2" type="noConversion"/>
  </si>
  <si>
    <t xml:space="preserve">        양 당사자는 다음과 같이 근로계약을 체결하고 상호 성실하게 준수할 것을 확약한다.
1. 을의 소속은 선용사업부(으)로 하고, 담당 업무는 무역사무(해외영업) 업무(으)로 한다.  
근로장소는 주식회사 한일후지코리아㈜ 사무실 內로 한다.
 업무상 필요한 경우 업무내용이나 근로장소를 변경하거나 배치 전환을 할 수 있다.
2. 을의 기본근로시간은 1일 8시간 1주 40시간으로 하며, 근로시간 및 휴게시간에 관한 세부내용은
 연봉계약서에 따르기로 한다.
3. 주휴일은 1주 1회 부여하며, 1주 만근시 유급으로 한다. 연차휴가는 근로기준법에 따라 부여하며,
 휴일은 법정공휴일을 포함한 주휴일, 근로자의 날, 대체공휴일 로 정한다.
4. 을의 연봉은 연봉계약서에 따르며, 연봉계약에 따라 정해진 연봉을 12회 분할하여 당월 30일이
(공휴일의 경우에는 전일)에 을의 계좌로 지급하기로 한다. 
5. 연봉계약서는 매년 작성하는 것을 원칙으로 하되, 계약내용의 변경이 없거나 연봉 중 월액의 내역이 동일한 상태에서 각 구성항목의 금액이 비율대로 인상되는 경우에는 이전 체결한 연봉계약이 갱신된 것으로 보아 새로운 연봉계약서를 작성하지 않을 수 있다.
6. 본 근로계약기간은    2023년  10월 16일부터  (기간의 정함이 없음) 까지로 한다.
7. 을은 당사재직중은 물론 퇴사 후 당사에서 얻은 영업기밀을 이용한 고객사 영업을 금지한다.
8. 계약기간 도중 퇴사하고자 할 경우, 을은 사전에 갑에게 사직서를 제출하여야 하고, 갑은
   을의 업무인수인계가 완료될 때까지 30일을 한도로 사직서 수리를 보류할 수 있다.
9. 을은 출근시간을 준수해야하며, 지각,조퇴,외출, 결근 시에는 근로를 제공하지 아니한 근로일
및 시간에 대해 임금을 공제할 뿐만 아니라 징계할 수 있다.
10. 을은 본인의 책정된 임금을 타인에게 공표하지 말아야 하며, 위배되는 행위에 따른 불이익에
 대해서 갑은 그에 합당한 징계조치를 할 수 있다.
※ 본 근로계약에 명시되지 아니한 부분은 연봉계약서, 노동관계법 및 일반관례 등에 따른다. 
* 위 내용을 확인하고 교부받았음을 확인합니다. (자필로 동일하게 기재)
 (   위 내용을 확인하고 이의 없음을 확인합니다.  )
                                                                                            2023 년  10월  23일
                                                                     갑 :  한일후지코리아(주)  대표이사  (인)
                                                                     을 :                                              (인)</t>
    <phoneticPr fontId="2" type="noConversion"/>
  </si>
  <si>
    <r>
      <t>6</t>
    </r>
    <r>
      <rPr>
        <sz val="10"/>
        <color theme="1"/>
        <rFont val="맑은 고딕"/>
        <family val="2"/>
        <charset val="129"/>
        <scheme val="minor"/>
      </rPr>
      <t xml:space="preserve">. 갑은 을의 업무수행능력 및 업무수행태도에 대한 평가를 위한 </t>
    </r>
    <r>
      <rPr>
        <u/>
        <sz val="10"/>
        <color theme="1"/>
        <rFont val="맑은 고딕"/>
        <family val="2"/>
        <charset val="129"/>
        <scheme val="minor"/>
      </rPr>
      <t>3개</t>
    </r>
    <r>
      <rPr>
        <u/>
        <sz val="10"/>
        <color theme="1"/>
        <rFont val="맑은 고딕"/>
        <family val="3"/>
        <charset val="129"/>
        <scheme val="minor"/>
      </rPr>
      <t>월간 수습기간</t>
    </r>
    <r>
      <rPr>
        <sz val="10"/>
        <color theme="1"/>
        <rFont val="맑은 고딕"/>
        <family val="2"/>
        <charset val="129"/>
        <scheme val="minor"/>
      </rPr>
      <t xml:space="preserve">을 둘 수 있다. </t>
    </r>
    <phoneticPr fontId="2" type="noConversion"/>
  </si>
  <si>
    <t>8. 을은 본인의 책정된 임금을 타인에게 공표하지 말아야 하며, 위배되는 행위에 따른 불이익에  대해서
  갑은 그에 합당한 징계조치를 할 수 있다.</t>
    <phoneticPr fontId="2" type="noConversion"/>
  </si>
  <si>
    <r>
      <t>9</t>
    </r>
    <r>
      <rPr>
        <sz val="11"/>
        <color theme="1"/>
        <rFont val="맑은 고딕"/>
        <family val="2"/>
        <charset val="129"/>
        <scheme val="minor"/>
      </rPr>
      <t>. 본 연봉계약기간은 2026년 5월 18일부터 2027년 5월 17일까지로 한다</t>
    </r>
    <r>
      <rPr>
        <sz val="6"/>
        <color theme="1"/>
        <rFont val="맑은 고딕"/>
        <family val="3"/>
        <charset val="129"/>
        <scheme val="minor"/>
      </rPr>
      <t xml:space="preserve">. 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* </t>
    </r>
    <r>
      <rPr>
        <sz val="11"/>
        <color theme="1"/>
        <rFont val="맑은 고딕"/>
        <family val="2"/>
        <charset val="129"/>
        <scheme val="minor"/>
      </rPr>
      <t>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내용을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확인하고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교부받았음을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확인합니다</t>
    </r>
    <r>
      <rPr>
        <sz val="11"/>
        <color theme="1"/>
        <rFont val="맑은 고딕"/>
        <family val="3"/>
        <charset val="129"/>
        <scheme val="minor"/>
      </rPr>
      <t>. (</t>
    </r>
    <r>
      <rPr>
        <sz val="11"/>
        <color theme="1"/>
        <rFont val="맑은 고딕"/>
        <family val="2"/>
        <charset val="129"/>
        <scheme val="minor"/>
      </rPr>
      <t>자필로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동일하게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기재</t>
    </r>
    <r>
      <rPr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charset val="129"/>
        <scheme val="minor"/>
      </rPr>
      <t xml:space="preserve">
 (                                                             )
                                                                                                              2026 년  5월  18일
                                                                                     갑 :    한일후지코리아(주)  대표이사   (인)
                                                                                    을 :                                            </t>
    </r>
    <r>
      <rPr>
        <sz val="8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(인)</t>
    </r>
    <phoneticPr fontId="2" type="noConversion"/>
  </si>
  <si>
    <t>장 은 서</t>
    <phoneticPr fontId="2" type="noConversion"/>
  </si>
  <si>
    <r>
      <t xml:space="preserve">        양 당사자는 다음과 같이 근로계약을 체결하고 상호 성실하게 준수할 것을 확약한다.
1. 을의 소속은 </t>
    </r>
    <r>
      <rPr>
        <u/>
        <sz val="11"/>
        <color theme="1"/>
        <rFont val="맑은 고딕"/>
        <family val="2"/>
        <charset val="129"/>
        <scheme val="minor"/>
      </rPr>
      <t>F&amp;B 2사업부</t>
    </r>
    <r>
      <rPr>
        <sz val="11"/>
        <color theme="1"/>
        <rFont val="맑은 고딕"/>
        <family val="3"/>
        <charset val="129"/>
        <scheme val="minor"/>
      </rPr>
      <t>(으)로 하고, 담당 업무는 무역사무(F&amp;B 3팀) 업무(으)</t>
    </r>
    <r>
      <rPr>
        <sz val="11"/>
        <color theme="1"/>
        <rFont val="맑은 고딕"/>
        <family val="2"/>
        <charset val="129"/>
        <scheme val="minor"/>
      </rPr>
      <t xml:space="preserve">로 한다.  
</t>
    </r>
    <r>
      <rPr>
        <sz val="11"/>
        <color theme="1"/>
        <rFont val="맑은 고딕"/>
        <family val="3"/>
        <charset val="129"/>
        <scheme val="minor"/>
      </rPr>
      <t xml:space="preserve">근로장소는 주식회사 한일후지코리아㈜ F&amp;B 2사업부 </t>
    </r>
    <r>
      <rPr>
        <u/>
        <sz val="11"/>
        <color theme="1"/>
        <rFont val="맑은 고딕"/>
        <family val="3"/>
        <charset val="129"/>
        <scheme val="minor"/>
      </rPr>
      <t>사무실</t>
    </r>
    <r>
      <rPr>
        <sz val="11"/>
        <color theme="1"/>
        <rFont val="맑은 고딕"/>
        <family val="3"/>
        <charset val="129"/>
        <scheme val="minor"/>
      </rPr>
      <t xml:space="preserve"> 內로 한다.</t>
    </r>
    <r>
      <rPr>
        <sz val="11"/>
        <color theme="1"/>
        <rFont val="맑은 고딕"/>
        <family val="2"/>
        <charset val="129"/>
        <scheme val="minor"/>
      </rPr>
      <t xml:space="preserve">
 업무상 필요한 경우 업무내용이나 근로장소를 변경하거나 배치 전환을 할 수 있다.
2. 을의 기본근로시간은 1일 8시간 1주 40시간으로 하며, 근로시간 및 휴게시간에 관한 세부내용은
 연봉계약서에 따르기로 한다.
3. 주휴일은 1주 1회 부여하며, 1주 만근시 유급으로 한다. 연차휴가는 근로기준법에 따라 부여하며,
 휴일은 법정공휴일을 포함한 주휴일, 근로자의 날, 대체공휴일 로 정한다.
</t>
    </r>
    <r>
      <rPr>
        <sz val="11"/>
        <rFont val="맑은 고딕"/>
        <family val="3"/>
        <charset val="129"/>
        <scheme val="minor"/>
      </rPr>
      <t>4. 을의 연봉은 연봉계약서에 따르며, 연봉계약에 따라 정해진 연봉을 12회 분할하여 당월 30일이
(공휴일의 경우에는 전일)에 을의 계좌로 지급하기로 한다. 
5. 연봉계약서는 매년 작성하는 것을 원칙으로 하되, 계약내용의 변경이 없거나 연봉 중 월액의 내역이 동일한 상태에서 각 구성항목의 금액이 비율대로 인상되는 경우에는 이전 체결한 연봉계약이 갱신된 것으로 보아 새로운 연봉계약서를 작성하지 않을 수 있다.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6. </t>
    </r>
    <r>
      <rPr>
        <sz val="11"/>
        <color theme="1"/>
        <rFont val="맑은 고딕"/>
        <family val="2"/>
        <charset val="129"/>
        <scheme val="minor"/>
      </rPr>
      <t>본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근로계약기간은</t>
    </r>
    <r>
      <rPr>
        <sz val="11"/>
        <color theme="1"/>
        <rFont val="맑은 고딕"/>
        <family val="3"/>
        <charset val="129"/>
        <scheme val="minor"/>
      </rPr>
      <t xml:space="preserve">    2026</t>
    </r>
    <r>
      <rPr>
        <sz val="11"/>
        <color theme="1"/>
        <rFont val="맑은 고딕"/>
        <family val="2"/>
        <charset val="129"/>
        <scheme val="minor"/>
      </rPr>
      <t>년</t>
    </r>
    <r>
      <rPr>
        <sz val="11"/>
        <color theme="1"/>
        <rFont val="맑은 고딕"/>
        <family val="3"/>
        <charset val="129"/>
        <scheme val="minor"/>
      </rPr>
      <t xml:space="preserve">  5</t>
    </r>
    <r>
      <rPr>
        <sz val="11"/>
        <color theme="1"/>
        <rFont val="맑은 고딕"/>
        <family val="2"/>
        <charset val="129"/>
        <scheme val="minor"/>
      </rPr>
      <t>월</t>
    </r>
    <r>
      <rPr>
        <sz val="11"/>
        <color theme="1"/>
        <rFont val="맑은 고딕"/>
        <family val="3"/>
        <charset val="129"/>
        <scheme val="minor"/>
      </rPr>
      <t xml:space="preserve">  18</t>
    </r>
    <r>
      <rPr>
        <sz val="11"/>
        <color theme="1"/>
        <rFont val="맑은 고딕"/>
        <family val="2"/>
        <charset val="129"/>
        <scheme val="minor"/>
      </rPr>
      <t>일부터</t>
    </r>
    <r>
      <rPr>
        <sz val="11"/>
        <color theme="1"/>
        <rFont val="맑은 고딕"/>
        <family val="3"/>
        <charset val="129"/>
        <scheme val="minor"/>
      </rPr>
      <t xml:space="preserve">  (기간의 정함이 없음) </t>
    </r>
    <r>
      <rPr>
        <sz val="11"/>
        <color theme="1"/>
        <rFont val="맑은 고딕"/>
        <family val="2"/>
        <charset val="129"/>
        <scheme val="minor"/>
      </rPr>
      <t>까지로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한다</t>
    </r>
    <r>
      <rPr>
        <sz val="11"/>
        <color theme="1"/>
        <rFont val="맑은 고딕"/>
        <family val="3"/>
        <charset val="129"/>
        <scheme val="minor"/>
      </rPr>
      <t>.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7. </t>
    </r>
    <r>
      <rPr>
        <sz val="11"/>
        <color theme="1"/>
        <rFont val="맑은 고딕"/>
        <family val="2"/>
        <charset val="129"/>
        <scheme val="minor"/>
      </rPr>
      <t>을은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당사</t>
    </r>
    <r>
      <rPr>
        <sz val="11"/>
        <color theme="1"/>
        <rFont val="맑은 고딕"/>
        <family val="3"/>
        <charset val="129"/>
        <scheme val="minor"/>
      </rPr>
      <t xml:space="preserve">재직중은 물론 퇴사 후 </t>
    </r>
    <r>
      <rPr>
        <sz val="11"/>
        <color theme="1"/>
        <rFont val="맑은 고딕"/>
        <family val="2"/>
        <charset val="129"/>
        <scheme val="minor"/>
      </rPr>
      <t>당사에서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얻은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영업기밀을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이용한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고객사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영업을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금지한다</t>
    </r>
    <r>
      <rPr>
        <sz val="11"/>
        <color theme="1"/>
        <rFont val="맑은 고딕"/>
        <family val="3"/>
        <charset val="129"/>
        <scheme val="minor"/>
      </rPr>
      <t>.</t>
    </r>
    <r>
      <rPr>
        <sz val="11"/>
        <color theme="1"/>
        <rFont val="맑은 고딕"/>
        <family val="2"/>
        <charset val="129"/>
        <scheme val="minor"/>
      </rPr>
      <t xml:space="preserve">
8. 계약기간 도중 퇴사하고자 할 경우, 을은 사전에 갑에게 사직서를 제출하여야 하고, 갑은
   을의 업무인수인계가 완료될 때까지 30일을 한도로 사직서 수리를 보류할 수 있다.
9. 을은 출근시간을 준수해야하며, 지각,조퇴,외출, 결근 시에는 근로를 제공하지 아니한 근로일
및 시간에 대해 임금을 공제할 뿐만 아니라 징계할 수 있다.
10. </t>
    </r>
    <r>
      <rPr>
        <b/>
        <u/>
        <sz val="11"/>
        <color rgb="FFFF0000"/>
        <rFont val="맑은 고딕"/>
        <family val="3"/>
        <charset val="129"/>
        <scheme val="minor"/>
      </rPr>
      <t>을은 본인의 책정된 임금을 타인에게 공표하지 말아야 하며, 위배되는 행위에 따른 불이익에
 대해서 갑은 그에 합당한 징계조치를 할 수 있다.</t>
    </r>
    <r>
      <rPr>
        <sz val="11"/>
        <color theme="1"/>
        <rFont val="맑은 고딕"/>
        <family val="2"/>
        <charset val="129"/>
        <scheme val="minor"/>
      </rPr>
      <t xml:space="preserve">
※ 본 근로계약에 명시되지 아니한 부분은 연봉계약서, 노동관계법 및 일반관례 등에 따른다. 
* 위 내용을 확인하고 교부받았음을 확인합니다. (자필로 동일하게 기재)
 ( </t>
    </r>
    <r>
      <rPr>
        <sz val="11"/>
        <color rgb="FFCCECFF"/>
        <rFont val="맑은 고딕"/>
        <family val="2"/>
        <charset val="129"/>
        <scheme val="minor"/>
      </rPr>
      <t xml:space="preserve"> </t>
    </r>
    <r>
      <rPr>
        <sz val="11"/>
        <color theme="0"/>
        <rFont val="맑은 고딕"/>
        <family val="3"/>
        <charset val="129"/>
        <scheme val="minor"/>
      </rPr>
      <t xml:space="preserve"> </t>
    </r>
    <r>
      <rPr>
        <sz val="14"/>
        <color theme="0"/>
        <rFont val="양재난초체M"/>
        <family val="1"/>
        <charset val="129"/>
      </rPr>
      <t>위 내용을 확인하고 이의 없음을 확인합니다.</t>
    </r>
    <r>
      <rPr>
        <sz val="11"/>
        <color theme="0" tint="-0.1499984740745262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)
                                                                                            2026 년  5월  18일
                                                                     갑 :  한일후지코리아(주)  대표이사  (인)
                                                                     을 :                                     </t>
    </r>
    <r>
      <rPr>
        <sz val="8"/>
        <color theme="1"/>
        <rFont val="맑은 고딕"/>
        <family val="3"/>
        <charset val="129"/>
        <scheme val="minor"/>
      </rPr>
      <t xml:space="preserve">  </t>
    </r>
    <r>
      <rPr>
        <sz val="11"/>
        <color theme="1"/>
        <rFont val="맑은 고딕"/>
        <family val="2"/>
        <charset val="129"/>
        <scheme val="minor"/>
      </rPr>
      <t xml:space="preserve">       (인)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</si>
</sst>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7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7.5"/>
      <color theme="1"/>
      <name val="맑은 고딕"/>
      <family val="2"/>
      <charset val="129"/>
      <scheme val="minor"/>
    </font>
    <font>
      <u/>
      <sz val="10"/>
      <color theme="1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CEC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4"/>
      <color theme="0"/>
      <name val="양재난초체M"/>
      <family val="1"/>
      <charset val="129"/>
    </font>
    <font>
      <sz val="11"/>
      <color theme="0" tint="-0.1499984740745262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2" borderId="0" xfId="0" applyFill="1">
      <alignment vertical="center"/>
    </xf>
    <xf numFmtId="0" fontId="17" fillId="5" borderId="1" xfId="0" applyFont="1" applyFill="1" applyBorder="1">
      <alignment vertical="center"/>
    </xf>
    <xf numFmtId="41" fontId="18" fillId="0" borderId="1" xfId="0" applyNumberFormat="1" applyFont="1" applyBorder="1">
      <alignment vertical="center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>
      <alignment vertical="center"/>
    </xf>
    <xf numFmtId="0" fontId="17" fillId="5" borderId="4" xfId="0" applyFont="1" applyFill="1" applyBorder="1" applyAlignment="1">
      <alignment horizontal="center" vertical="center"/>
    </xf>
    <xf numFmtId="41" fontId="19" fillId="0" borderId="4" xfId="1" applyFont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13" fillId="3" borderId="0" xfId="0" applyFont="1" applyFill="1" applyBorder="1" applyAlignment="1">
      <alignment horizontal="right" vertical="center"/>
    </xf>
    <xf numFmtId="0" fontId="0" fillId="0" borderId="0" xfId="0">
      <alignment vertical="center"/>
    </xf>
    <xf numFmtId="0" fontId="13" fillId="3" borderId="10" xfId="0" applyFont="1" applyFill="1" applyBorder="1" applyAlignment="1">
      <alignment vertical="center"/>
    </xf>
    <xf numFmtId="0" fontId="5" fillId="0" borderId="0" xfId="0" applyFont="1">
      <alignment vertical="center"/>
    </xf>
    <xf numFmtId="41" fontId="0" fillId="2" borderId="0" xfId="1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2" borderId="0" xfId="0" applyNumberFormat="1" applyFill="1">
      <alignment vertical="center"/>
    </xf>
    <xf numFmtId="0" fontId="0" fillId="3" borderId="1" xfId="0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41" fontId="5" fillId="2" borderId="0" xfId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41" fontId="13" fillId="2" borderId="2" xfId="1" applyFont="1" applyFill="1" applyBorder="1" applyAlignment="1">
      <alignment horizontal="center" vertical="center"/>
    </xf>
    <xf numFmtId="41" fontId="13" fillId="2" borderId="4" xfId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1" fontId="5" fillId="4" borderId="2" xfId="1" applyFont="1" applyFill="1" applyBorder="1" applyAlignment="1">
      <alignment horizontal="center" vertical="center"/>
    </xf>
    <xf numFmtId="41" fontId="5" fillId="4" borderId="4" xfId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top" wrapText="1"/>
    </xf>
    <xf numFmtId="0" fontId="33" fillId="2" borderId="11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41" fontId="5" fillId="2" borderId="2" xfId="0" applyNumberFormat="1" applyFont="1" applyFill="1" applyBorder="1" applyAlignment="1">
      <alignment horizontal="center" vertical="center"/>
    </xf>
    <xf numFmtId="41" fontId="5" fillId="2" borderId="3" xfId="0" applyNumberFormat="1" applyFont="1" applyFill="1" applyBorder="1" applyAlignment="1">
      <alignment horizontal="center" vertical="center"/>
    </xf>
    <xf numFmtId="41" fontId="5" fillId="2" borderId="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M31"/>
  <sheetViews>
    <sheetView view="pageBreakPreview" zoomScale="85" zoomScaleNormal="100" zoomScaleSheetLayoutView="85" workbookViewId="0">
      <selection activeCell="N9" sqref="N9"/>
    </sheetView>
  </sheetViews>
  <sheetFormatPr defaultRowHeight="16.5"/>
  <cols>
    <col min="1" max="9" width="8.125" style="1" customWidth="1"/>
    <col min="10" max="10" width="9.625" style="1" customWidth="1"/>
    <col min="11" max="11" width="4.75" style="12" customWidth="1"/>
    <col min="12" max="16384" width="9" style="12"/>
  </cols>
  <sheetData>
    <row r="2" spans="1:10" ht="26.25">
      <c r="A2" s="28" t="s">
        <v>48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16.5" customHeight="1">
      <c r="A4" s="29" t="s">
        <v>49</v>
      </c>
      <c r="B4" s="16" t="s">
        <v>50</v>
      </c>
      <c r="C4" s="32" t="s">
        <v>51</v>
      </c>
      <c r="D4" s="33"/>
      <c r="E4" s="33"/>
      <c r="F4" s="33"/>
      <c r="G4" s="34"/>
      <c r="H4" s="16" t="s">
        <v>52</v>
      </c>
      <c r="I4" s="35" t="s">
        <v>53</v>
      </c>
      <c r="J4" s="36"/>
    </row>
    <row r="5" spans="1:10">
      <c r="A5" s="30"/>
      <c r="B5" s="16" t="s">
        <v>54</v>
      </c>
      <c r="C5" s="35" t="s">
        <v>55</v>
      </c>
      <c r="D5" s="37"/>
      <c r="E5" s="37"/>
      <c r="F5" s="37"/>
      <c r="G5" s="36"/>
      <c r="H5" s="16" t="s">
        <v>56</v>
      </c>
      <c r="I5" s="35">
        <v>150</v>
      </c>
      <c r="J5" s="36"/>
    </row>
    <row r="6" spans="1:10" ht="17.25" thickBot="1">
      <c r="A6" s="31"/>
      <c r="B6" s="19" t="s">
        <v>57</v>
      </c>
      <c r="C6" s="35" t="s">
        <v>58</v>
      </c>
      <c r="D6" s="37"/>
      <c r="E6" s="37"/>
      <c r="F6" s="37"/>
      <c r="G6" s="36"/>
      <c r="H6" s="16" t="s">
        <v>59</v>
      </c>
      <c r="I6" s="35" t="s">
        <v>60</v>
      </c>
      <c r="J6" s="36"/>
    </row>
    <row r="7" spans="1:10" ht="16.5" customHeight="1">
      <c r="A7" s="38" t="s">
        <v>61</v>
      </c>
      <c r="B7" s="20" t="s">
        <v>62</v>
      </c>
      <c r="C7" s="39" t="s">
        <v>73</v>
      </c>
      <c r="D7" s="40"/>
      <c r="E7" s="40"/>
      <c r="F7" s="40"/>
      <c r="G7" s="41"/>
      <c r="H7" s="16" t="s">
        <v>63</v>
      </c>
      <c r="I7" s="39"/>
      <c r="J7" s="41"/>
    </row>
    <row r="8" spans="1:10">
      <c r="A8" s="30"/>
      <c r="B8" s="16" t="s">
        <v>64</v>
      </c>
      <c r="C8" s="42"/>
      <c r="D8" s="43"/>
      <c r="E8" s="43"/>
      <c r="F8" s="43"/>
      <c r="G8" s="44"/>
      <c r="H8" s="16" t="s">
        <v>65</v>
      </c>
      <c r="I8" s="39"/>
      <c r="J8" s="41"/>
    </row>
    <row r="9" spans="1:10" ht="409.5" customHeight="1">
      <c r="A9" s="27" t="s">
        <v>74</v>
      </c>
      <c r="B9" s="27"/>
      <c r="C9" s="27"/>
      <c r="D9" s="27"/>
      <c r="E9" s="27"/>
      <c r="F9" s="27"/>
      <c r="G9" s="27"/>
      <c r="H9" s="27"/>
      <c r="I9" s="27"/>
      <c r="J9" s="27"/>
    </row>
    <row r="10" spans="1:10" ht="10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10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 ht="11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0" ht="26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0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0" ht="30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0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3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3" ht="180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26" spans="1:13" ht="409.5">
      <c r="M26" s="18" t="s">
        <v>69</v>
      </c>
    </row>
    <row r="31" spans="1:13">
      <c r="E31" s="21"/>
    </row>
  </sheetData>
  <mergeCells count="14">
    <mergeCell ref="A9:J18"/>
    <mergeCell ref="A2:J2"/>
    <mergeCell ref="A4:A6"/>
    <mergeCell ref="C4:G4"/>
    <mergeCell ref="I4:J4"/>
    <mergeCell ref="C5:G5"/>
    <mergeCell ref="I5:J5"/>
    <mergeCell ref="C6:G6"/>
    <mergeCell ref="I6:J6"/>
    <mergeCell ref="A7:A8"/>
    <mergeCell ref="C7:G7"/>
    <mergeCell ref="I7:J7"/>
    <mergeCell ref="C8:G8"/>
    <mergeCell ref="I8:J8"/>
  </mergeCells>
  <phoneticPr fontId="2" type="noConversion"/>
  <printOptions horizontalCentered="1"/>
  <pageMargins left="0.59055118110236227" right="0.59055118110236227" top="0.59055118110236227" bottom="0.39370078740157483" header="0.31496062992125984" footer="0.31496062992125984"/>
  <pageSetup paperSize="9" scale="87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N39"/>
  <sheetViews>
    <sheetView tabSelected="1" view="pageBreakPreview" zoomScaleNormal="100" zoomScaleSheetLayoutView="100" workbookViewId="0">
      <selection activeCell="A8" sqref="A8:J8"/>
    </sheetView>
  </sheetViews>
  <sheetFormatPr defaultRowHeight="16.5"/>
  <cols>
    <col min="1" max="1" width="11.25" style="1" customWidth="1"/>
    <col min="2" max="6" width="8.125" style="1" customWidth="1"/>
    <col min="7" max="7" width="9.875" style="1" customWidth="1"/>
    <col min="8" max="8" width="9.5" style="1" customWidth="1"/>
    <col min="9" max="9" width="6.375" style="1" customWidth="1"/>
    <col min="10" max="10" width="15" style="1" customWidth="1"/>
    <col min="11" max="11" width="4.25" style="12" customWidth="1"/>
    <col min="12" max="12" width="27.75" style="12" bestFit="1" customWidth="1"/>
    <col min="13" max="13" width="23.875" style="12" customWidth="1"/>
    <col min="14" max="16384" width="9" style="12"/>
  </cols>
  <sheetData>
    <row r="1" spans="1:13" ht="26.25">
      <c r="A1" s="90" t="s">
        <v>16</v>
      </c>
      <c r="B1" s="90"/>
      <c r="C1" s="90"/>
      <c r="D1" s="90"/>
      <c r="E1" s="90"/>
      <c r="F1" s="90"/>
      <c r="G1" s="90"/>
      <c r="H1" s="90"/>
      <c r="I1" s="90"/>
      <c r="J1" s="90"/>
      <c r="K1" s="8"/>
    </row>
    <row r="2" spans="1:13" ht="16.5" customHeight="1">
      <c r="A2" s="82" t="s">
        <v>17</v>
      </c>
      <c r="B2" s="22" t="s">
        <v>18</v>
      </c>
      <c r="C2" s="32" t="s">
        <v>19</v>
      </c>
      <c r="D2" s="33"/>
      <c r="E2" s="33"/>
      <c r="F2" s="33"/>
      <c r="G2" s="34"/>
      <c r="H2" s="22" t="s">
        <v>0</v>
      </c>
      <c r="I2" s="35" t="s">
        <v>4</v>
      </c>
      <c r="J2" s="36"/>
      <c r="K2" s="8"/>
      <c r="L2" s="6" t="s">
        <v>12</v>
      </c>
      <c r="M2" s="2" t="s">
        <v>13</v>
      </c>
    </row>
    <row r="3" spans="1:13" ht="17.25">
      <c r="A3" s="91"/>
      <c r="B3" s="22" t="s">
        <v>20</v>
      </c>
      <c r="C3" s="35" t="s">
        <v>21</v>
      </c>
      <c r="D3" s="37"/>
      <c r="E3" s="37"/>
      <c r="F3" s="37"/>
      <c r="G3" s="36"/>
      <c r="H3" s="22" t="s">
        <v>1</v>
      </c>
      <c r="I3" s="35">
        <v>150</v>
      </c>
      <c r="J3" s="36"/>
      <c r="K3" s="8"/>
      <c r="L3" s="7">
        <v>36000000</v>
      </c>
      <c r="M3" s="3">
        <f>L3/12</f>
        <v>3000000</v>
      </c>
    </row>
    <row r="4" spans="1:13">
      <c r="A4" s="83"/>
      <c r="B4" s="22" t="s">
        <v>22</v>
      </c>
      <c r="C4" s="35" t="s">
        <v>23</v>
      </c>
      <c r="D4" s="37"/>
      <c r="E4" s="37"/>
      <c r="F4" s="37"/>
      <c r="G4" s="36"/>
      <c r="H4" s="22" t="s">
        <v>2</v>
      </c>
      <c r="I4" s="35" t="s">
        <v>5</v>
      </c>
      <c r="J4" s="36"/>
      <c r="K4" s="8"/>
      <c r="L4" s="12" t="s">
        <v>14</v>
      </c>
      <c r="M4" s="12" t="s">
        <v>15</v>
      </c>
    </row>
    <row r="5" spans="1:13" ht="16.5" customHeight="1">
      <c r="A5" s="82" t="s">
        <v>24</v>
      </c>
      <c r="B5" s="22" t="s">
        <v>25</v>
      </c>
      <c r="C5" s="39"/>
      <c r="D5" s="40"/>
      <c r="E5" s="40"/>
      <c r="F5" s="40"/>
      <c r="G5" s="41"/>
      <c r="H5" s="22" t="s">
        <v>3</v>
      </c>
      <c r="I5" s="39"/>
      <c r="J5" s="41"/>
      <c r="K5" s="8"/>
    </row>
    <row r="6" spans="1:13">
      <c r="A6" s="83"/>
      <c r="B6" s="22" t="s">
        <v>22</v>
      </c>
      <c r="C6" s="84"/>
      <c r="D6" s="85"/>
      <c r="E6" s="85"/>
      <c r="F6" s="85"/>
      <c r="G6" s="86"/>
      <c r="H6" s="22" t="s">
        <v>2</v>
      </c>
      <c r="I6" s="39"/>
      <c r="J6" s="41"/>
      <c r="K6" s="8"/>
    </row>
    <row r="7" spans="1:1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8"/>
    </row>
    <row r="8" spans="1:13" ht="236.25" customHeight="1">
      <c r="A8" s="78" t="s">
        <v>67</v>
      </c>
      <c r="B8" s="78"/>
      <c r="C8" s="78"/>
      <c r="D8" s="78"/>
      <c r="E8" s="78"/>
      <c r="F8" s="78"/>
      <c r="G8" s="78"/>
      <c r="H8" s="78"/>
      <c r="I8" s="78"/>
      <c r="J8" s="78"/>
      <c r="K8" s="8"/>
      <c r="L8" s="18" t="s">
        <v>46</v>
      </c>
    </row>
    <row r="9" spans="1:13" ht="15.75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8"/>
    </row>
    <row r="10" spans="1:13" ht="19.5" customHeight="1">
      <c r="A10" s="78" t="s">
        <v>32</v>
      </c>
      <c r="B10" s="78"/>
      <c r="C10" s="78"/>
      <c r="D10" s="78"/>
      <c r="E10" s="78"/>
      <c r="F10" s="78"/>
      <c r="G10" s="78"/>
      <c r="H10" s="78"/>
      <c r="I10" s="78"/>
      <c r="J10" s="78"/>
      <c r="K10" s="8"/>
    </row>
    <row r="11" spans="1:13" ht="14.25" customHeight="1">
      <c r="A11" s="70"/>
      <c r="B11" s="71"/>
      <c r="C11" s="72"/>
      <c r="D11" s="58" t="s">
        <v>30</v>
      </c>
      <c r="E11" s="73"/>
      <c r="F11" s="59"/>
      <c r="G11" s="25"/>
      <c r="H11" s="25"/>
      <c r="I11" s="25"/>
      <c r="J11" s="25"/>
      <c r="K11" s="8"/>
    </row>
    <row r="12" spans="1:13" ht="14.25" customHeight="1">
      <c r="A12" s="58" t="s">
        <v>31</v>
      </c>
      <c r="B12" s="73"/>
      <c r="C12" s="59"/>
      <c r="D12" s="87">
        <f>L3</f>
        <v>36000000</v>
      </c>
      <c r="E12" s="88"/>
      <c r="F12" s="89"/>
      <c r="G12" s="25"/>
      <c r="H12" s="25"/>
      <c r="I12" s="25"/>
      <c r="J12" s="25"/>
      <c r="K12" s="8"/>
    </row>
    <row r="13" spans="1:13" ht="19.5" customHeight="1">
      <c r="A13" s="79"/>
      <c r="B13" s="79"/>
      <c r="C13" s="79"/>
      <c r="D13" s="79"/>
      <c r="E13" s="80"/>
      <c r="F13" s="80"/>
      <c r="G13" s="80"/>
      <c r="H13" s="80"/>
      <c r="I13" s="81"/>
      <c r="J13" s="81"/>
      <c r="K13" s="8"/>
    </row>
    <row r="14" spans="1:13" ht="15" customHeight="1">
      <c r="A14" s="69" t="s">
        <v>70</v>
      </c>
      <c r="B14" s="69"/>
      <c r="C14" s="69"/>
      <c r="D14" s="69"/>
      <c r="E14" s="69"/>
      <c r="F14" s="69"/>
      <c r="G14" s="69"/>
      <c r="H14" s="69"/>
      <c r="I14" s="69"/>
      <c r="J14" s="69"/>
      <c r="K14" s="8"/>
    </row>
    <row r="15" spans="1:13" ht="15" customHeight="1">
      <c r="A15" s="68" t="s">
        <v>66</v>
      </c>
      <c r="B15" s="68"/>
      <c r="C15" s="68"/>
      <c r="D15" s="68"/>
      <c r="E15" s="68"/>
      <c r="F15" s="68"/>
      <c r="G15" s="68"/>
      <c r="H15" s="68"/>
      <c r="I15" s="68"/>
      <c r="J15" s="68"/>
      <c r="K15" s="8"/>
    </row>
    <row r="16" spans="1:13" s="14" customFormat="1" ht="11.25" customHeight="1">
      <c r="A16" s="70"/>
      <c r="B16" s="71"/>
      <c r="C16" s="71"/>
      <c r="D16" s="72"/>
      <c r="E16" s="58" t="s">
        <v>10</v>
      </c>
      <c r="F16" s="73"/>
      <c r="G16" s="73"/>
      <c r="H16" s="59"/>
      <c r="I16" s="58" t="s">
        <v>9</v>
      </c>
      <c r="J16" s="59"/>
      <c r="K16" s="9"/>
      <c r="L16" s="14" t="s">
        <v>42</v>
      </c>
    </row>
    <row r="17" spans="1:14" s="14" customFormat="1" ht="18" customHeight="1">
      <c r="A17" s="58" t="s">
        <v>6</v>
      </c>
      <c r="B17" s="59"/>
      <c r="C17" s="58" t="s">
        <v>7</v>
      </c>
      <c r="D17" s="59"/>
      <c r="E17" s="60" t="s">
        <v>8</v>
      </c>
      <c r="F17" s="61"/>
      <c r="G17" s="61"/>
      <c r="H17" s="62"/>
      <c r="I17" s="74">
        <f>I27*0.8</f>
        <v>2400000</v>
      </c>
      <c r="J17" s="75"/>
      <c r="K17" s="9"/>
      <c r="L17" s="14" t="s">
        <v>43</v>
      </c>
    </row>
    <row r="18" spans="1:14" s="14" customFormat="1" ht="16.5" customHeight="1">
      <c r="A18" s="58" t="s">
        <v>29</v>
      </c>
      <c r="B18" s="73"/>
      <c r="C18" s="73"/>
      <c r="D18" s="73"/>
      <c r="E18" s="73"/>
      <c r="F18" s="73"/>
      <c r="G18" s="73"/>
      <c r="H18" s="59"/>
      <c r="I18" s="63">
        <f>SUM(I17:J17)</f>
        <v>2400000</v>
      </c>
      <c r="J18" s="64"/>
      <c r="K18" s="10"/>
    </row>
    <row r="19" spans="1:14" ht="16.5" customHeight="1">
      <c r="A19" s="4"/>
      <c r="B19" s="4"/>
      <c r="C19" s="4"/>
      <c r="D19" s="4"/>
      <c r="E19" s="4"/>
      <c r="F19" s="4"/>
      <c r="G19" s="4"/>
      <c r="H19" s="4"/>
      <c r="I19" s="76"/>
      <c r="J19" s="77"/>
      <c r="K19" s="8"/>
      <c r="L19" s="14"/>
      <c r="M19" s="14"/>
    </row>
    <row r="20" spans="1:14" ht="13.5" customHeight="1">
      <c r="A20" s="78" t="s">
        <v>33</v>
      </c>
      <c r="B20" s="78"/>
      <c r="C20" s="78"/>
      <c r="D20" s="78"/>
      <c r="E20" s="78"/>
      <c r="F20" s="78"/>
      <c r="G20" s="78"/>
      <c r="H20" s="78"/>
      <c r="I20" s="78"/>
      <c r="J20" s="78"/>
      <c r="K20" s="8"/>
      <c r="L20" s="14"/>
      <c r="M20" s="14"/>
    </row>
    <row r="21" spans="1:14" ht="13.5" customHeight="1">
      <c r="A21" s="78" t="s">
        <v>11</v>
      </c>
      <c r="B21" s="78"/>
      <c r="C21" s="78"/>
      <c r="D21" s="78"/>
      <c r="E21" s="78"/>
      <c r="F21" s="78"/>
      <c r="G21" s="78"/>
      <c r="H21" s="78"/>
      <c r="I21" s="78"/>
      <c r="J21" s="78"/>
      <c r="K21" s="8"/>
      <c r="L21" s="14"/>
      <c r="M21" s="14"/>
    </row>
    <row r="22" spans="1:14" ht="13.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8"/>
      <c r="L22" s="14"/>
      <c r="M22" s="14"/>
    </row>
    <row r="23" spans="1:14" s="14" customFormat="1" ht="20.25" customHeight="1">
      <c r="A23" s="65"/>
      <c r="B23" s="66"/>
      <c r="C23" s="66"/>
      <c r="D23" s="67"/>
      <c r="E23" s="45" t="s">
        <v>10</v>
      </c>
      <c r="F23" s="46"/>
      <c r="G23" s="46"/>
      <c r="H23" s="47"/>
      <c r="I23" s="45" t="s">
        <v>9</v>
      </c>
      <c r="J23" s="47"/>
      <c r="K23" s="9"/>
      <c r="M23" s="12"/>
    </row>
    <row r="24" spans="1:14" s="14" customFormat="1" ht="18" customHeight="1">
      <c r="A24" s="45" t="s">
        <v>6</v>
      </c>
      <c r="B24" s="47"/>
      <c r="C24" s="58" t="s">
        <v>34</v>
      </c>
      <c r="D24" s="59"/>
      <c r="E24" s="60" t="s">
        <v>35</v>
      </c>
      <c r="F24" s="61"/>
      <c r="G24" s="61"/>
      <c r="H24" s="62"/>
      <c r="I24" s="63">
        <f>ROUNDUP(M3/260*209,0)</f>
        <v>2411539</v>
      </c>
      <c r="J24" s="64"/>
      <c r="K24" s="13"/>
      <c r="M24" s="12"/>
    </row>
    <row r="25" spans="1:14" s="14" customFormat="1" ht="18" customHeight="1">
      <c r="A25" s="54" t="s">
        <v>26</v>
      </c>
      <c r="B25" s="55"/>
      <c r="C25" s="58" t="s">
        <v>36</v>
      </c>
      <c r="D25" s="59"/>
      <c r="E25" s="60" t="s">
        <v>47</v>
      </c>
      <c r="F25" s="61"/>
      <c r="G25" s="61"/>
      <c r="H25" s="62"/>
      <c r="I25" s="63">
        <f>ROUND(M3/260*27,0)</f>
        <v>311538</v>
      </c>
      <c r="J25" s="64"/>
      <c r="K25" s="11"/>
    </row>
    <row r="26" spans="1:14" s="14" customFormat="1" ht="18" customHeight="1">
      <c r="A26" s="56"/>
      <c r="B26" s="57"/>
      <c r="C26" s="58" t="s">
        <v>37</v>
      </c>
      <c r="D26" s="59"/>
      <c r="E26" s="60" t="s">
        <v>45</v>
      </c>
      <c r="F26" s="61"/>
      <c r="G26" s="61"/>
      <c r="H26" s="62"/>
      <c r="I26" s="63">
        <f>ROUND(M3/260*24,0)</f>
        <v>276923</v>
      </c>
      <c r="J26" s="64"/>
      <c r="K26" s="13"/>
    </row>
    <row r="27" spans="1:14" s="14" customFormat="1" ht="16.5" customHeight="1">
      <c r="A27" s="45" t="s">
        <v>27</v>
      </c>
      <c r="B27" s="46"/>
      <c r="C27" s="46"/>
      <c r="D27" s="46"/>
      <c r="E27" s="46"/>
      <c r="F27" s="46"/>
      <c r="G27" s="46"/>
      <c r="H27" s="47"/>
      <c r="I27" s="48">
        <f>SUM(I24:J26)</f>
        <v>3000000</v>
      </c>
      <c r="J27" s="49"/>
      <c r="K27" s="13"/>
      <c r="L27" s="14" t="s">
        <v>44</v>
      </c>
    </row>
    <row r="28" spans="1:14" s="14" customFormat="1" ht="12" customHeight="1">
      <c r="A28" s="50" t="s">
        <v>28</v>
      </c>
      <c r="B28" s="50"/>
      <c r="C28" s="50"/>
      <c r="D28" s="50"/>
      <c r="E28" s="50"/>
      <c r="F28" s="50"/>
      <c r="G28" s="50"/>
      <c r="H28" s="50"/>
      <c r="I28" s="50"/>
      <c r="J28" s="50"/>
      <c r="K28" s="8"/>
      <c r="M28" s="12"/>
      <c r="N28" s="12"/>
    </row>
    <row r="29" spans="1:14" ht="19.5" hidden="1" customHeight="1">
      <c r="A29" s="51" t="s">
        <v>68</v>
      </c>
      <c r="B29" s="51"/>
      <c r="C29" s="51"/>
      <c r="D29" s="51"/>
      <c r="E29" s="51"/>
      <c r="F29" s="51"/>
      <c r="G29" s="51"/>
      <c r="H29" s="51"/>
      <c r="I29" s="51"/>
      <c r="J29" s="51"/>
      <c r="K29" s="8"/>
      <c r="L29" s="14"/>
    </row>
    <row r="30" spans="1:14" ht="5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8"/>
      <c r="L30" s="14"/>
    </row>
    <row r="31" spans="1:14" ht="33.75" customHeight="1">
      <c r="A31" s="53" t="s">
        <v>71</v>
      </c>
      <c r="B31" s="53"/>
      <c r="C31" s="53"/>
      <c r="D31" s="53"/>
      <c r="E31" s="53"/>
      <c r="F31" s="53"/>
      <c r="G31" s="53"/>
      <c r="H31" s="53"/>
      <c r="I31" s="53"/>
      <c r="J31" s="53"/>
      <c r="K31" s="8"/>
      <c r="L31" s="14"/>
    </row>
    <row r="32" spans="1:14" ht="6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8"/>
      <c r="L32" s="14"/>
    </row>
    <row r="33" spans="1:12" ht="150" customHeight="1">
      <c r="A33" s="52" t="s">
        <v>72</v>
      </c>
      <c r="B33" s="52"/>
      <c r="C33" s="52"/>
      <c r="D33" s="52"/>
      <c r="E33" s="52"/>
      <c r="F33" s="52"/>
      <c r="G33" s="52"/>
      <c r="H33" s="52"/>
      <c r="I33" s="52"/>
      <c r="J33" s="52"/>
      <c r="K33" s="8"/>
      <c r="L33" s="14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</row>
    <row r="38" spans="1:12">
      <c r="C38" s="1" t="s">
        <v>38</v>
      </c>
      <c r="E38" s="1" t="s">
        <v>39</v>
      </c>
      <c r="G38" s="15">
        <v>1573770</v>
      </c>
    </row>
    <row r="39" spans="1:12">
      <c r="C39" s="1" t="s">
        <v>40</v>
      </c>
      <c r="E39" s="1" t="s">
        <v>41</v>
      </c>
      <c r="G39" s="15">
        <v>1745150</v>
      </c>
    </row>
  </sheetData>
  <mergeCells count="58">
    <mergeCell ref="A1:J1"/>
    <mergeCell ref="A2:A4"/>
    <mergeCell ref="C2:G2"/>
    <mergeCell ref="I2:J2"/>
    <mergeCell ref="C3:G3"/>
    <mergeCell ref="I3:J3"/>
    <mergeCell ref="C4:G4"/>
    <mergeCell ref="I4:J4"/>
    <mergeCell ref="A13:B13"/>
    <mergeCell ref="C13:D13"/>
    <mergeCell ref="E13:H13"/>
    <mergeCell ref="I13:J13"/>
    <mergeCell ref="A5:A6"/>
    <mergeCell ref="C5:G5"/>
    <mergeCell ref="I5:J5"/>
    <mergeCell ref="C6:G6"/>
    <mergeCell ref="I6:J6"/>
    <mergeCell ref="A8:J8"/>
    <mergeCell ref="A10:J10"/>
    <mergeCell ref="A11:C11"/>
    <mergeCell ref="D11:F11"/>
    <mergeCell ref="A12:C12"/>
    <mergeCell ref="D12:F12"/>
    <mergeCell ref="A22:J22"/>
    <mergeCell ref="A14:J14"/>
    <mergeCell ref="A15:J15"/>
    <mergeCell ref="A16:D16"/>
    <mergeCell ref="E16:H16"/>
    <mergeCell ref="I16:J16"/>
    <mergeCell ref="A17:B17"/>
    <mergeCell ref="C17:D17"/>
    <mergeCell ref="E17:H17"/>
    <mergeCell ref="I17:J17"/>
    <mergeCell ref="A18:H18"/>
    <mergeCell ref="I18:J18"/>
    <mergeCell ref="I19:J19"/>
    <mergeCell ref="A20:J20"/>
    <mergeCell ref="A21:J21"/>
    <mergeCell ref="A23:D23"/>
    <mergeCell ref="E23:H23"/>
    <mergeCell ref="I23:J23"/>
    <mergeCell ref="A24:B24"/>
    <mergeCell ref="C24:D24"/>
    <mergeCell ref="E24:H24"/>
    <mergeCell ref="I24:J24"/>
    <mergeCell ref="A25:B26"/>
    <mergeCell ref="C25:D25"/>
    <mergeCell ref="E25:H25"/>
    <mergeCell ref="I25:J25"/>
    <mergeCell ref="C26:D26"/>
    <mergeCell ref="E26:H26"/>
    <mergeCell ref="I26:J26"/>
    <mergeCell ref="A27:H27"/>
    <mergeCell ref="I27:J27"/>
    <mergeCell ref="A28:J28"/>
    <mergeCell ref="A29:J29"/>
    <mergeCell ref="A33:J33"/>
    <mergeCell ref="A31:J31"/>
  </mergeCells>
  <phoneticPr fontId="2" type="noConversion"/>
  <printOptions horizontalCentered="1" verticalCentered="1"/>
  <pageMargins left="0.59055118110236227" right="0.59055118110236227" top="0.59055118110236227" bottom="0.39370078740157483" header="0.31496062992125984" footer="0.31496062992125984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P1.표지) 근로계약서</vt:lpstr>
      <vt:lpstr>장은서</vt:lpstr>
      <vt:lpstr>'P1.표지) 근로계약서'!Print_Area</vt:lpstr>
      <vt:lpstr>장은서!Print_Area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Felix</cp:lastModifiedBy>
  <cp:lastPrinted>2026-06-05T01:17:55Z</cp:lastPrinted>
  <dcterms:created xsi:type="dcterms:W3CDTF">2015-03-30T08:51:52Z</dcterms:created>
  <dcterms:modified xsi:type="dcterms:W3CDTF">2026-06-05T01:17:58Z</dcterms:modified>
</cp:coreProperties>
</file>